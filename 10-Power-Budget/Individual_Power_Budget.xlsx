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1de4f317e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udget" sheetId="1" r:id="R09991d0a0bf9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4">
    <x:font>
      <x:sz val="11"/>
      <x:name val="Carlito"/>
    </x:font>
    <x:font>
      <x:b/>
      <x:sz val="12"/>
      <x:name val="Carlito"/>
    </x:font>
    <x:font>
      <x:b/>
      <x:sz val="11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D7E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2" fillId="0" borderId="6" xfId="0" applyNumberFormat="1" applyFont="1" applyFill="1" applyBorder="1"/>
    <x:xf numFmtId="200" fontId="2" fillId="0" borderId="6" xfId="0" applyNumberFormat="1" applyFont="1" applyFill="1" applyBorder="1"/>
    <x:xf numFmtId="0" fontId="2" fillId="0" borderId="9" xfId="0" applyNumberFormat="1" applyFont="1" applyFill="1" applyBorder="1"/>
    <x:xf numFmtId="0" fontId="2" fillId="0" borderId="15" xfId="0" applyNumberFormat="1" applyFont="1" applyFill="1" applyBorder="1"/>
    <x:xf numFmtId="200" fontId="2" fillId="0" borderId="15" xfId="0" applyNumberFormat="1" applyFont="1" applyFill="1" applyBorder="1"/>
    <x:xf numFmtId="0" fontId="2" fillId="0" borderId="18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9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/>
    </x:xf>
    <x:xf numFmtId="200" fontId="2" fillId="0" borderId="6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horizontal="center"/>
    </x:xf>
    <x:xf numFmtId="0" fontId="2" fillId="0" borderId="8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/>
    </x:xf>
    <x:xf numFmtId="200" fontId="2" fillId="0" borderId="15" xfId="0" applyNumberFormat="1" applyFont="1" applyFill="1" applyBorder="1" applyAlignment="1">
      <x:alignment horizontal="center"/>
    </x:xf>
    <x:xf numFmtId="0" fontId="2" fillId="0" borderId="18" xfId="0" applyNumberFormat="1" applyFont="1" applyFill="1" applyBorder="1" applyAlignment="1">
      <x:alignment horizontal="center"/>
    </x:xf>
    <x:xf numFmtId="0" fontId="2" fillId="0" borderId="11" xfId="0" applyNumberFormat="1" applyFont="1" applyFill="1" applyBorder="1" applyAlignment="1">
      <x:alignment horizontal="center"/>
    </x:xf>
    <x:xf numFmtId="0" fontId="2" fillId="0" borderId="12" xfId="0" applyNumberFormat="1" applyFont="1" applyFill="1" applyBorder="1" applyAlignment="1">
      <x:alignment horizontal="center"/>
    </x:xf>
    <x:xf numFmtId="0" fontId="2" fillId="0" borderId="13" xfId="0" applyNumberFormat="1" applyFont="1" applyFill="1" applyBorder="1" applyAlignment="1">
      <x:alignment horizontal="center"/>
    </x:xf>
    <x:xf numFmtId="0" fontId="2" fillId="0" borderId="14" xfId="0" applyNumberFormat="1" applyFont="1" applyFill="1" applyBorder="1" applyAlignment="1">
      <x:alignment horizontal="center"/>
    </x:xf>
    <x:xf numFmtId="0" fontId="2" fillId="0" borderId="16" xfId="0" applyNumberFormat="1" applyFont="1" applyFill="1" applyBorder="1" applyAlignment="1">
      <x:alignment horizontal="center"/>
    </x:xf>
    <x:xf numFmtId="0" fontId="2" fillId="0" borderId="17" xfId="0" applyNumberFormat="1" applyFont="1" applyFill="1" applyBorder="1" applyAlignment="1">
      <x:alignment horizontal="center"/>
    </x:xf>
    <x:xf numFmtId="0" fontId="2" fillId="0" borderId="19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 vertical="center"/>
    </x:xf>
    <x:xf numFmtId="200" fontId="2" fillId="0" borderId="15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2" fillId="0" borderId="16" xfId="0" applyNumberFormat="1" applyFont="1" applyFill="1" applyBorder="1" applyAlignment="1">
      <x:alignment horizontal="center" vertical="center"/>
    </x:xf>
    <x:xf numFmtId="0" fontId="2" fillId="0" borderId="17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200" fontId="2" fillId="0" borderId="6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center" vertical="center" wrapText="1"/>
    </x:xf>
    <x:xf numFmtId="200" fontId="2" fillId="0" borderId="15" xfId="0" applyNumberFormat="1" applyFont="1" applyFill="1" applyBorder="1" applyAlignment="1">
      <x:alignment horizontal="center" vertical="center"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2" fillId="3" borderId="3" xfId="0" applyNumberFormat="1" applyFont="1" applyFill="1" applyBorder="1" applyAlignment="1">
      <x:alignment horizontal="center" vertical="center" wrapText="1"/>
    </x:xf>
    <x:xf numFmtId="201" fontId="2" fillId="0" borderId="6" xfId="0" applyNumberFormat="1" applyFont="1" applyFill="1" applyBorder="1" applyAlignment="1">
      <x:alignment horizontal="center" vertical="center" wrapText="1"/>
    </x:xf>
    <x:xf numFmtId="201" fontId="2" fillId="0" borderId="9" xfId="0" applyNumberFormat="1" applyFont="1" applyFill="1" applyBorder="1" applyAlignment="1">
      <x:alignment horizontal="center" vertical="center" wrapText="1"/>
    </x:xf>
    <x:xf numFmtId="201" fontId="2" fillId="0" borderId="2" xfId="0" applyNumberFormat="1" applyFont="1" applyFill="1" applyBorder="1" applyAlignment="1">
      <x:alignment horizontal="center" vertical="center" wrapText="1"/>
    </x:xf>
    <x:xf numFmtId="201" fontId="2" fillId="0" borderId="3" xfId="0" applyNumberFormat="1" applyFont="1" applyFill="1" applyBorder="1" applyAlignment="1">
      <x:alignment horizontal="center" vertical="center" wrapText="1"/>
    </x:xf>
    <x:xf numFmtId="201" fontId="2" fillId="0" borderId="4" xfId="0" applyNumberFormat="1" applyFont="1" applyFill="1" applyBorder="1" applyAlignment="1">
      <x:alignment horizontal="center" vertical="center" wrapText="1"/>
    </x:xf>
    <x:xf numFmtId="201" fontId="2" fillId="0" borderId="5" xfId="0" applyNumberFormat="1" applyFont="1" applyFill="1" applyBorder="1" applyAlignment="1">
      <x:alignment horizontal="center" vertical="center" wrapText="1"/>
    </x:xf>
    <x:xf numFmtId="201" fontId="2" fillId="0" borderId="7" xfId="0" applyNumberFormat="1" applyFont="1" applyFill="1" applyBorder="1" applyAlignment="1">
      <x:alignment horizontal="center" vertical="center" wrapText="1"/>
    </x:xf>
    <x:xf numFmtId="201" fontId="2" fillId="0" borderId="8" xfId="0" applyNumberFormat="1" applyFont="1" applyFill="1" applyBorder="1" applyAlignment="1">
      <x:alignment horizontal="center" vertical="center" wrapText="1"/>
    </x:xf>
    <x:xf numFmtId="201" fontId="2" fillId="0" borderId="10" xfId="0" applyNumberFormat="1" applyFont="1" applyFill="1" applyBorder="1" applyAlignment="1">
      <x:alignment horizontal="center" vertical="center" wrapText="1"/>
    </x:xf>
    <x:xf numFmtId="201" fontId="0" fillId="0" borderId="15" xfId="0" applyNumberFormat="1" applyFont="1" applyFill="1" applyBorder="1" applyAlignment="1">
      <x:alignment horizontal="center" vertical="center" wrapText="1"/>
    </x:xf>
    <x:xf numFmtId="201" fontId="0" fillId="0" borderId="18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1" fontId="2" fillId="3" borderId="12" xfId="0" applyNumberFormat="1" applyFont="1" applyFill="1" applyBorder="1" applyAlignment="1">
      <x:alignment horizontal="center" vertical="center" wrapText="1"/>
    </x:xf>
    <x:xf numFmtId="201" fontId="2" fillId="0" borderId="15" xfId="0" applyNumberFormat="1" applyFont="1" applyFill="1" applyBorder="1" applyAlignment="1">
      <x:alignment horizontal="center" vertical="center" wrapText="1"/>
    </x:xf>
    <x:xf numFmtId="201" fontId="2" fillId="0" borderId="18" xfId="0" applyNumberFormat="1" applyFont="1" applyFill="1" applyBorder="1" applyAlignment="1">
      <x:alignment horizontal="center" vertical="center" wrapText="1"/>
    </x:xf>
    <x:xf numFmtId="201" fontId="2" fillId="0" borderId="11" xfId="0" applyNumberFormat="1" applyFont="1" applyFill="1" applyBorder="1" applyAlignment="1">
      <x:alignment horizontal="center" vertical="center" wrapText="1"/>
    </x:xf>
    <x:xf numFmtId="201" fontId="2" fillId="0" borderId="12" xfId="0" applyNumberFormat="1" applyFont="1" applyFill="1" applyBorder="1" applyAlignment="1">
      <x:alignment horizontal="center" vertical="center" wrapText="1"/>
    </x:xf>
    <x:xf numFmtId="201" fontId="2" fillId="0" borderId="13" xfId="0" applyNumberFormat="1" applyFont="1" applyFill="1" applyBorder="1" applyAlignment="1">
      <x:alignment horizontal="center" vertical="center" wrapText="1"/>
    </x:xf>
    <x:xf numFmtId="201" fontId="2" fillId="0" borderId="14" xfId="0" applyNumberFormat="1" applyFont="1" applyFill="1" applyBorder="1" applyAlignment="1">
      <x:alignment horizontal="center" vertical="center" wrapText="1"/>
    </x:xf>
    <x:xf numFmtId="201" fontId="2" fillId="0" borderId="16" xfId="0" applyNumberFormat="1" applyFont="1" applyFill="1" applyBorder="1" applyAlignment="1">
      <x:alignment horizontal="center" vertical="center" wrapText="1"/>
    </x:xf>
    <x:xf numFmtId="201" fontId="2" fillId="0" borderId="17" xfId="0" applyNumberFormat="1" applyFont="1" applyFill="1" applyBorder="1" applyAlignment="1">
      <x:alignment horizontal="center" vertical="center" wrapText="1"/>
    </x:xf>
    <x:xf numFmtId="201" fontId="2" fillId="0" borderId="1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7f1ee61504b33" /><Relationship Type="http://schemas.openxmlformats.org/officeDocument/2006/relationships/theme" Target="/xl/theme/theme1.xml" Id="R1d4a3a0a74d2496f" /><Relationship Type="http://schemas.openxmlformats.org/officeDocument/2006/relationships/sharedStrings" Target="/xl/sharedStrings.xml" Id="R294c9561d28745d1" /><Relationship Type="http://schemas.openxmlformats.org/officeDocument/2006/relationships/worksheet" Target="/xl/worksheets/sheet1.xml" Id="R09991d0a0bf9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25" hidden="0" customWidth="1"/>
    <x:col min="2" max="2" width="31" hidden="0" customWidth="1"/>
    <x:col min="3" max="3" width="21" hidden="0" customWidth="1"/>
    <x:col min="4" max="4" width="8" hidden="0" customWidth="1"/>
    <x:col min="5" max="5" width="20" hidden="0" customWidth="1"/>
    <x:col min="6" max="6" width="20" hidden="0" customWidth="1"/>
    <x:col min="7" max="7" width="14" hidden="0" customWidth="1"/>
    <x:col min="8" max="8" width="42" hidden="0" customWidth="1"/>
  </x:cols>
  <x:sheetData>
    <x:row r="1" ht="26" customHeight="1">
      <x:c r="A1" s="142" t="str">
        <x:v>EGR 304 Main Controller Power Budget</x:v>
      </x:c>
      <x:c r="B1" s="142"/>
      <x:c r="C1" s="142"/>
      <x:c r="D1" s="142"/>
      <x:c r="E1" s="142"/>
      <x:c r="F1" s="142"/>
      <x:c r="G1" s="142"/>
      <x:c r="H1" s="142"/>
    </x:row>
    <x:row r="2">
      <x:c r="A2" s="143" t="str">
        <x:v>Project Name:</x:v>
      </x:c>
      <x:c r="B2" s="144" t="str">
        <x:v>Main RGB LED Controller</x:v>
      </x:c>
      <x:c r="C2" s="144"/>
      <x:c r="D2" s="144"/>
      <x:c r="E2" s="144"/>
      <x:c r="F2" s="144"/>
      <x:c r="G2" s="144"/>
      <x:c r="H2" s="144"/>
    </x:row>
    <x:row r="3">
      <x:c r="A3" s="143" t="str">
        <x:v>Controller:</x:v>
      </x:c>
      <x:c r="B3" s="144" t="str">
        <x:v>PIC18F57Q43 Curiosity Nano</x:v>
      </x:c>
      <x:c r="C3" s="144"/>
      <x:c r="D3" s="144"/>
      <x:c r="E3" s="144"/>
      <x:c r="F3" s="144"/>
      <x:c r="G3" s="144"/>
      <x:c r="H3" s="144"/>
    </x:row>
    <x:row r="4">
      <x:c r="A4" s="143" t="str">
        <x:v>Input Supply:</x:v>
      </x:c>
      <x:c r="B4" s="144" t="str">
        <x:v>9 VDC, 3 A</x:v>
      </x:c>
      <x:c r="C4" s="144"/>
      <x:c r="D4" s="144"/>
      <x:c r="E4" s="144"/>
      <x:c r="F4" s="144"/>
      <x:c r="G4" s="144"/>
      <x:c r="H4" s="144"/>
    </x:row>
    <x:row r="5">
      <x:c r="A5" s="143" t="str">
        <x:v>Design Safety Margin:</x:v>
      </x:c>
      <x:c r="B5" s="145" t="n">
        <x:v>0.25</x:v>
      </x:c>
      <x:c r="C5" s="144"/>
      <x:c r="D5" s="144"/>
      <x:c r="E5" s="144"/>
      <x:c r="F5" s="144"/>
      <x:c r="G5" s="144"/>
      <x:c r="H5" s="144"/>
    </x:row>
    <x:row r="6">
      <x:c r="A6" s="144"/>
      <x:c r="B6" s="144"/>
      <x:c r="C6" s="144"/>
      <x:c r="D6" s="144"/>
      <x:c r="E6" s="144"/>
      <x:c r="F6" s="144"/>
      <x:c r="G6" s="144"/>
      <x:c r="H6" s="144"/>
    </x:row>
    <x:row r="7" ht="26" customHeight="1">
      <x:c r="A7" s="146" t="str">
        <x:v>All Major Components</x:v>
      </x:c>
      <x:c r="B7" s="146"/>
      <x:c r="C7" s="146"/>
      <x:c r="D7" s="146"/>
      <x:c r="E7" s="146"/>
      <x:c r="F7" s="146"/>
      <x:c r="G7" s="146"/>
      <x:c r="H7" s="146"/>
    </x:row>
    <x:row r="8" ht="26" customHeight="1">
      <x:c r="A8" s="32" t="str">
        <x:v>Component Name</x:v>
      </x:c>
      <x:c r="B8" s="33" t="str">
        <x:v>Part Number / Design Basis</x:v>
      </x:c>
      <x:c r="C8" s="33" t="str">
        <x:v>Supply Voltage Range</x:v>
      </x:c>
      <x:c r="D8" s="33" t="str">
        <x:v>Qty.</x:v>
      </x:c>
      <x:c r="E8" s="33" t="str">
        <x:v>Current per Unit (mA)</x:v>
      </x:c>
      <x:c r="F8" s="33" t="str">
        <x:v>Total Current (mA)</x:v>
      </x:c>
      <x:c r="G8" s="33" t="str">
        <x:v>Power (W)</x:v>
      </x:c>
      <x:c r="H8" s="34" t="str">
        <x:v>Notes</x:v>
      </x:c>
    </x:row>
    <x:row r="9">
      <x:c r="A9" s="147" t="str">
        <x:v>Red LED Bank Q1</x:v>
      </x:c>
      <x:c r="B9" s="148" t="str">
        <x:v>Cree C5SMF-RJE-CU14QBB2</x:v>
      </x:c>
      <x:c r="C9" s="148" t="str">
        <x:v>9 V rail</x:v>
      </x:c>
      <x:c r="D9" s="149" t="n">
        <x:v>1</x:v>
      </x:c>
      <x:c r="E9" s="192" t="n">
        <x:v>83.08</x:v>
      </x:c>
      <x:c r="F9" s="192" t="n">
        <x:f>D9*E9</x:f>
        <x:v>83.08</x:v>
      </x:c>
      <x:c r="G9" s="192" t="n">
        <x:f>F9/1000*9</x:f>
        <x:v>0.74772</x:v>
      </x:c>
      <x:c r="H9" s="150" t="str">
        <x:v>4 parallel strings; 3 red LEDs/string; 130 ohm/string</x:v>
      </x:c>
    </x:row>
    <x:row r="10">
      <x:c r="A10" s="147" t="str">
        <x:v>Red LED Bank Q2</x:v>
      </x:c>
      <x:c r="B10" s="148" t="str">
        <x:v>Cree C5SMF-RJE-CU14QBB2</x:v>
      </x:c>
      <x:c r="C10" s="148" t="str">
        <x:v>9 V rail</x:v>
      </x:c>
      <x:c r="D10" s="149" t="n">
        <x:v>1</x:v>
      </x:c>
      <x:c r="E10" s="192" t="n">
        <x:v>83.08</x:v>
      </x:c>
      <x:c r="F10" s="192" t="n">
        <x:f>D10*E10</x:f>
        <x:v>83.08</x:v>
      </x:c>
      <x:c r="G10" s="192" t="n">
        <x:f>F10/1000*9</x:f>
        <x:v>0.74772</x:v>
      </x:c>
      <x:c r="H10" s="150" t="str">
        <x:v>4 parallel strings; 3 red LEDs/string; 130 ohm/string</x:v>
      </x:c>
    </x:row>
    <x:row r="11">
      <x:c r="A11" s="147" t="str">
        <x:v>Green LED Bank Q3</x:v>
      </x:c>
      <x:c r="B11" s="148" t="str">
        <x:v>Cree C5SMF-GJF-CV0Y0791</x:v>
      </x:c>
      <x:c r="C11" s="148" t="str">
        <x:v>9 V rail</x:v>
      </x:c>
      <x:c r="D11" s="149" t="n">
        <x:v>1</x:v>
      </x:c>
      <x:c r="E11" s="192" t="n">
        <x:v>88</x:v>
      </x:c>
      <x:c r="F11" s="192" t="n">
        <x:f>D11*E11</x:f>
        <x:v>88</x:v>
      </x:c>
      <x:c r="G11" s="192" t="n">
        <x:f>F11/1000*9</x:f>
        <x:v>0.7919999999999999</x:v>
      </x:c>
      <x:c r="H11" s="150" t="str">
        <x:v>4 parallel strings; 2 green LEDs/string; 100 ohm/string</x:v>
      </x:c>
    </x:row>
    <x:row r="12">
      <x:c r="A12" s="147" t="str">
        <x:v>Green LED Bank Q4</x:v>
      </x:c>
      <x:c r="B12" s="148" t="str">
        <x:v>Cree C5SMF-GJF-CV0Y0791</x:v>
      </x:c>
      <x:c r="C12" s="148" t="str">
        <x:v>9 V rail</x:v>
      </x:c>
      <x:c r="D12" s="149" t="n">
        <x:v>1</x:v>
      </x:c>
      <x:c r="E12" s="192" t="n">
        <x:v>88</x:v>
      </x:c>
      <x:c r="F12" s="192" t="n">
        <x:f>D12*E12</x:f>
        <x:v>88</x:v>
      </x:c>
      <x:c r="G12" s="192" t="n">
        <x:f>F12/1000*9</x:f>
        <x:v>0.7919999999999999</x:v>
      </x:c>
      <x:c r="H12" s="150" t="str">
        <x:v>4 parallel strings; 2 green LEDs/string; 100 ohm/string</x:v>
      </x:c>
    </x:row>
    <x:row r="13">
      <x:c r="A13" s="147" t="str">
        <x:v>Blue LED Bank Q5</x:v>
      </x:c>
      <x:c r="B13" s="148" t="str">
        <x:v>Cree C5SMF-BJE-CR0U0451</x:v>
      </x:c>
      <x:c r="C13" s="148" t="str">
        <x:v>9 V rail</x:v>
      </x:c>
      <x:c r="D13" s="149" t="n">
        <x:v>1</x:v>
      </x:c>
      <x:c r="E13" s="192" t="n">
        <x:v>88</x:v>
      </x:c>
      <x:c r="F13" s="192" t="n">
        <x:f>D13*E13</x:f>
        <x:v>88</x:v>
      </x:c>
      <x:c r="G13" s="192" t="n">
        <x:f>F13/1000*9</x:f>
        <x:v>0.7919999999999999</x:v>
      </x:c>
      <x:c r="H13" s="150" t="str">
        <x:v>4 parallel strings; 2 blue LEDs/string; 100 ohm/string</x:v>
      </x:c>
    </x:row>
    <x:row r="14">
      <x:c r="A14" s="147" t="str">
        <x:v>PIC18F57Q43 Curiosity Nano</x:v>
      </x:c>
      <x:c r="B14" s="148" t="str">
        <x:v>Microchip DM164150</x:v>
      </x:c>
      <x:c r="C14" s="148" t="str">
        <x:v>5 V rail</x:v>
      </x:c>
      <x:c r="D14" s="149" t="n">
        <x:v>1</x:v>
      </x:c>
      <x:c r="E14" s="192" t="n">
        <x:v>100</x:v>
      </x:c>
      <x:c r="F14" s="192" t="n">
        <x:f>D14*E14</x:f>
        <x:v>100</x:v>
      </x:c>
      <x:c r="G14" s="192" t="n">
        <x:f>F14/1000*5</x:f>
        <x:v>0.5</x:v>
      </x:c>
      <x:c r="H14" s="150" t="str">
        <x:v>Conservative design allowance; not a measured board current</x:v>
      </x:c>
    </x:row>
    <x:row r="15">
      <x:c r="A15" s="147" t="str">
        <x:v>Indicator LEDs</x:v>
      </x:c>
      <x:c r="B15" s="148" t="str">
        <x:v>Design allowance</x:v>
      </x:c>
      <x:c r="C15" s="148" t="str">
        <x:v>5 V rail</x:v>
      </x:c>
      <x:c r="D15" s="149" t="n">
        <x:v>3</x:v>
      </x:c>
      <x:c r="E15" s="192" t="n">
        <x:v>20</x:v>
      </x:c>
      <x:c r="F15" s="192" t="n">
        <x:f>D15*E15</x:f>
        <x:v>60</x:v>
      </x:c>
      <x:c r="G15" s="192" t="n">
        <x:f>F15/1000*5</x:f>
        <x:v>0.3</x:v>
      </x:c>
      <x:c r="H15" s="150" t="str">
        <x:v>Temp LED 1, Temp LED 2, Trouble LED; conservative 20 mA each</x:v>
      </x:c>
    </x:row>
    <x:row r="16">
      <x:c r="A16" s="151" t="str">
        <x:v>L7805 quiescent current</x:v>
      </x:c>
      <x:c r="B16" s="152" t="str">
        <x:v>ST L7805CV</x:v>
      </x:c>
      <x:c r="C16" s="152" t="str">
        <x:v>9 V input</x:v>
      </x:c>
      <x:c r="D16" s="153" t="n">
        <x:v>1</x:v>
      </x:c>
      <x:c r="E16" s="193" t="n">
        <x:v>6</x:v>
      </x:c>
      <x:c r="F16" s="193" t="n">
        <x:f>D16*E16</x:f>
        <x:v>6</x:v>
      </x:c>
      <x:c r="G16" s="193" t="n">
        <x:f>F16/1000*9</x:f>
        <x:v>0.054</x:v>
      </x:c>
      <x:c r="H16" s="154" t="str">
        <x:v>Conservative regulator operating-current allowance</x:v>
      </x:c>
    </x:row>
    <x:row r="17">
      <x:c r="A17" s="144"/>
      <x:c r="B17" s="144"/>
      <x:c r="C17" s="144"/>
      <x:c r="D17" s="155"/>
      <x:c r="E17" s="194"/>
      <x:c r="F17" s="194"/>
      <x:c r="G17" s="194"/>
      <x:c r="H17" s="144"/>
    </x:row>
    <x:row r="18" ht="26" customHeight="1">
      <x:c r="A18" s="146" t="str">
        <x:v>+9 V Power Rail</x:v>
      </x:c>
      <x:c r="B18" s="146"/>
      <x:c r="C18" s="146"/>
      <x:c r="D18" s="156"/>
      <x:c r="E18" s="195"/>
      <x:c r="F18" s="195"/>
      <x:c r="G18" s="195"/>
      <x:c r="H18" s="146"/>
    </x:row>
    <x:row r="19" ht="26" customHeight="1">
      <x:c r="A19" s="32" t="str">
        <x:v>Component Name</x:v>
      </x:c>
      <x:c r="B19" s="33" t="str">
        <x:v>Part Number / Design Basis</x:v>
      </x:c>
      <x:c r="C19" s="33" t="str">
        <x:v>Supply Voltage Range</x:v>
      </x:c>
      <x:c r="D19" s="33" t="str">
        <x:v>Qty.</x:v>
      </x:c>
      <x:c r="E19" s="196" t="str">
        <x:v>Current per Unit (mA)</x:v>
      </x:c>
      <x:c r="F19" s="196" t="str">
        <x:v>Total Current (mA)</x:v>
      </x:c>
      <x:c r="G19" s="196" t="str">
        <x:v>Power (W)</x:v>
      </x:c>
      <x:c r="H19" s="34" t="str">
        <x:v>Notes</x:v>
      </x:c>
    </x:row>
    <x:row r="20">
      <x:c r="A20" s="147" t="str">
        <x:v>RGB LED Array</x:v>
      </x:c>
      <x:c r="B20" s="148" t="str">
        <x:v>5 MOSFET-controlled banks</x:v>
      </x:c>
      <x:c r="C20" s="148" t="str">
        <x:v>9 V</x:v>
      </x:c>
      <x:c r="D20" s="149" t="n">
        <x:v>1</x:v>
      </x:c>
      <x:c r="E20" s="192" t="n">
        <x:v>430.16</x:v>
      </x:c>
      <x:c r="F20" s="192" t="n">
        <x:f>D20*E20</x:f>
        <x:v>430.16</x:v>
      </x:c>
      <x:c r="G20" s="192" t="n">
        <x:f>F20/1000*9</x:f>
        <x:v>3.87144</x:v>
      </x:c>
      <x:c r="H20" s="150" t="str">
        <x:v>Maximum nominal array current at 100% PWM</x:v>
      </x:c>
    </x:row>
    <x:row r="21">
      <x:c r="A21" s="147" t="str">
        <x:v>5 V Regulator Branch</x:v>
      </x:c>
      <x:c r="B21" s="148" t="str">
        <x:v>L7805 input current allowance</x:v>
      </x:c>
      <x:c r="C21" s="148" t="str">
        <x:v>9 V</x:v>
      </x:c>
      <x:c r="D21" s="149" t="n">
        <x:v>1</x:v>
      </x:c>
      <x:c r="E21" s="192" t="n">
        <x:v>166</x:v>
      </x:c>
      <x:c r="F21" s="192" t="n">
        <x:f>D21*E21</x:f>
        <x:v>166</x:v>
      </x:c>
      <x:c r="G21" s="192" t="n">
        <x:f>F21/1000*9</x:f>
        <x:v>1.494</x:v>
      </x:c>
      <x:c r="H21" s="150" t="str">
        <x:v>160 mA 5 V load + ~6 mA regulator allowance</x:v>
      </x:c>
    </x:row>
    <x:row r="22">
      <x:c r="A22" s="147"/>
      <x:c r="B22" s="148"/>
      <x:c r="C22" s="148"/>
      <x:c r="D22" s="149"/>
      <x:c r="E22" s="197" t="str">
        <x:v>Subtotal</x:v>
      </x:c>
      <x:c r="F22" s="197" t="n">
        <x:f>SUM(F20:F21)</x:f>
        <x:v>596.1600000000001</x:v>
      </x:c>
      <x:c r="G22" s="197"/>
      <x:c r="H22" s="150"/>
    </x:row>
    <x:row r="23">
      <x:c r="A23" s="147"/>
      <x:c r="B23" s="148"/>
      <x:c r="C23" s="148"/>
      <x:c r="D23" s="149"/>
      <x:c r="E23" s="197" t="str">
        <x:v>Safety Margin</x:v>
      </x:c>
      <x:c r="F23" s="197" t="n">
        <x:f>$B$5</x:f>
        <x:v>0.25</x:v>
      </x:c>
      <x:c r="G23" s="197"/>
      <x:c r="H23" s="150"/>
    </x:row>
    <x:row r="24">
      <x:c r="A24" s="151"/>
      <x:c r="B24" s="152"/>
      <x:c r="C24" s="152"/>
      <x:c r="D24" s="153"/>
      <x:c r="E24" s="198" t="str">
        <x:v>Total Current Required on +9 V Rail</x:v>
      </x:c>
      <x:c r="F24" s="198" t="n">
        <x:f>F22*(1+F23)</x:f>
        <x:v>745.2</x:v>
      </x:c>
      <x:c r="G24" s="198" t="n">
        <x:f>F24/1000*9</x:f>
        <x:v>6.706800000000001</x:v>
      </x:c>
      <x:c r="H24" s="154"/>
    </x:row>
    <x:row r="25">
      <x:c r="A25" s="144"/>
      <x:c r="B25" s="144"/>
      <x:c r="C25" s="144"/>
      <x:c r="D25" s="155"/>
      <x:c r="E25" s="194"/>
      <x:c r="F25" s="194"/>
      <x:c r="G25" s="194"/>
      <x:c r="H25" s="144"/>
    </x:row>
    <x:row r="26" ht="26" customHeight="1">
      <x:c r="A26" s="146" t="str">
        <x:v>+5 V Regulated Rail</x:v>
      </x:c>
      <x:c r="B26" s="146"/>
      <x:c r="C26" s="146"/>
      <x:c r="D26" s="156"/>
      <x:c r="E26" s="195"/>
      <x:c r="F26" s="195"/>
      <x:c r="G26" s="195"/>
      <x:c r="H26" s="146"/>
    </x:row>
    <x:row r="27" ht="26" customHeight="1">
      <x:c r="A27" s="32" t="str">
        <x:v>Component Name</x:v>
      </x:c>
      <x:c r="B27" s="33" t="str">
        <x:v>Part Number / Design Basis</x:v>
      </x:c>
      <x:c r="C27" s="33" t="str">
        <x:v>Supply Voltage Range</x:v>
      </x:c>
      <x:c r="D27" s="33" t="str">
        <x:v>Qty.</x:v>
      </x:c>
      <x:c r="E27" s="196" t="str">
        <x:v>Current per Unit (mA)</x:v>
      </x:c>
      <x:c r="F27" s="196" t="str">
        <x:v>Total Current (mA)</x:v>
      </x:c>
      <x:c r="G27" s="196" t="str">
        <x:v>Power (W)</x:v>
      </x:c>
      <x:c r="H27" s="34" t="str">
        <x:v>Notes</x:v>
      </x:c>
    </x:row>
    <x:row r="28">
      <x:c r="A28" s="147" t="str">
        <x:v>PIC18F57Q43 Curiosity Nano</x:v>
      </x:c>
      <x:c r="B28" s="148" t="str">
        <x:v>Microchip DM164150</x:v>
      </x:c>
      <x:c r="C28" s="148" t="str">
        <x:v>5 V</x:v>
      </x:c>
      <x:c r="D28" s="149" t="n">
        <x:v>1</x:v>
      </x:c>
      <x:c r="E28" s="192" t="n">
        <x:v>100</x:v>
      </x:c>
      <x:c r="F28" s="192" t="n">
        <x:f>D28*E28</x:f>
        <x:v>100</x:v>
      </x:c>
      <x:c r="G28" s="192" t="n">
        <x:f>F28/1000*5</x:f>
        <x:v>0.5</x:v>
      </x:c>
      <x:c r="H28" s="150" t="str">
        <x:v>Conservative design allowance</x:v>
      </x:c>
    </x:row>
    <x:row r="29">
      <x:c r="A29" s="147" t="str">
        <x:v>Temperature LED 1</x:v>
      </x:c>
      <x:c r="B29" s="148" t="str">
        <x:v>Design allowance</x:v>
      </x:c>
      <x:c r="C29" s="148" t="str">
        <x:v>5 V</x:v>
      </x:c>
      <x:c r="D29" s="149" t="n">
        <x:v>1</x:v>
      </x:c>
      <x:c r="E29" s="192" t="n">
        <x:v>20</x:v>
      </x:c>
      <x:c r="F29" s="192" t="n">
        <x:f>D29*E29</x:f>
        <x:v>20</x:v>
      </x:c>
      <x:c r="G29" s="192" t="n">
        <x:f>F29/1000*5</x:f>
        <x:v>0.1</x:v>
      </x:c>
      <x:c r="H29" s="150" t="str">
        <x:v>Worst-case indicator allowance</x:v>
      </x:c>
    </x:row>
    <x:row r="30">
      <x:c r="A30" s="147" t="str">
        <x:v>Temperature LED 2</x:v>
      </x:c>
      <x:c r="B30" s="148" t="str">
        <x:v>Design allowance</x:v>
      </x:c>
      <x:c r="C30" s="148" t="str">
        <x:v>5 V</x:v>
      </x:c>
      <x:c r="D30" s="149" t="n">
        <x:v>1</x:v>
      </x:c>
      <x:c r="E30" s="192" t="n">
        <x:v>20</x:v>
      </x:c>
      <x:c r="F30" s="192" t="n">
        <x:f>D30*E30</x:f>
        <x:v>20</x:v>
      </x:c>
      <x:c r="G30" s="192" t="n">
        <x:f>F30/1000*5</x:f>
        <x:v>0.1</x:v>
      </x:c>
      <x:c r="H30" s="150" t="str">
        <x:v>Worst-case indicator allowance</x:v>
      </x:c>
    </x:row>
    <x:row r="31">
      <x:c r="A31" s="147" t="str">
        <x:v>Trouble LED</x:v>
      </x:c>
      <x:c r="B31" s="148" t="str">
        <x:v>Design allowance</x:v>
      </x:c>
      <x:c r="C31" s="148" t="str">
        <x:v>5 V</x:v>
      </x:c>
      <x:c r="D31" s="149" t="n">
        <x:v>1</x:v>
      </x:c>
      <x:c r="E31" s="192" t="n">
        <x:v>20</x:v>
      </x:c>
      <x:c r="F31" s="192" t="n">
        <x:f>D31*E31</x:f>
        <x:v>20</x:v>
      </x:c>
      <x:c r="G31" s="192" t="n">
        <x:f>F31/1000*5</x:f>
        <x:v>0.1</x:v>
      </x:c>
      <x:c r="H31" s="150" t="str">
        <x:v>Worst-case indicator allowance</x:v>
      </x:c>
    </x:row>
    <x:row r="32">
      <x:c r="A32" s="147"/>
      <x:c r="B32" s="148"/>
      <x:c r="C32" s="148"/>
      <x:c r="D32" s="149"/>
      <x:c r="E32" s="197" t="str">
        <x:v>Subtotal</x:v>
      </x:c>
      <x:c r="F32" s="197" t="n">
        <x:f>SUM(F28:F31)</x:f>
        <x:v>160</x:v>
      </x:c>
      <x:c r="G32" s="197"/>
      <x:c r="H32" s="150"/>
    </x:row>
    <x:row r="33">
      <x:c r="A33" s="147"/>
      <x:c r="B33" s="148"/>
      <x:c r="C33" s="148"/>
      <x:c r="D33" s="149"/>
      <x:c r="E33" s="197" t="str">
        <x:v>Safety Margin</x:v>
      </x:c>
      <x:c r="F33" s="197" t="n">
        <x:f>$B$5</x:f>
        <x:v>0.25</x:v>
      </x:c>
      <x:c r="G33" s="197"/>
      <x:c r="H33" s="150"/>
    </x:row>
    <x:row r="34">
      <x:c r="A34" s="151"/>
      <x:c r="B34" s="152"/>
      <x:c r="C34" s="152"/>
      <x:c r="D34" s="153"/>
      <x:c r="E34" s="198" t="str">
        <x:v>Total Current Required on +5 V Rail</x:v>
      </x:c>
      <x:c r="F34" s="198" t="n">
        <x:f>F32*(1+F33)</x:f>
        <x:v>200</x:v>
      </x:c>
      <x:c r="G34" s="198" t="n">
        <x:f>F34/1000*5</x:f>
        <x:v>1</x:v>
      </x:c>
      <x:c r="H34" s="154"/>
    </x:row>
    <x:row r="35">
      <x:c r="A35" s="144"/>
      <x:c r="B35" s="144"/>
      <x:c r="C35" s="144"/>
      <x:c r="D35" s="155"/>
      <x:c r="E35" s="194"/>
      <x:c r="F35" s="194"/>
      <x:c r="G35" s="194"/>
      <x:c r="H35" s="144"/>
    </x:row>
    <x:row r="36" ht="26" customHeight="1">
      <x:c r="A36" s="146" t="str">
        <x:v>Regulator / Supply Capacity</x:v>
      </x:c>
      <x:c r="B36" s="146"/>
      <x:c r="C36" s="146"/>
      <x:c r="D36" s="156"/>
      <x:c r="E36" s="195"/>
      <x:c r="F36" s="195"/>
      <x:c r="G36" s="195"/>
      <x:c r="H36" s="146"/>
    </x:row>
    <x:row r="37" ht="26" customHeight="1">
      <x:c r="A37" s="32" t="str">
        <x:v>Component Name</x:v>
      </x:c>
      <x:c r="B37" s="33" t="str">
        <x:v>Part Number / Design Basis</x:v>
      </x:c>
      <x:c r="C37" s="33" t="str">
        <x:v>Supply Voltage Range</x:v>
      </x:c>
      <x:c r="D37" s="33" t="str">
        <x:v>Qty.</x:v>
      </x:c>
      <x:c r="E37" s="196" t="str">
        <x:v>Current per Unit (mA)</x:v>
      </x:c>
      <x:c r="F37" s="196" t="str">
        <x:v>Total Current (mA)</x:v>
      </x:c>
      <x:c r="G37" s="196" t="str">
        <x:v>Power (W)</x:v>
      </x:c>
      <x:c r="H37" s="34" t="str">
        <x:v>Notes</x:v>
      </x:c>
    </x:row>
    <x:row r="38">
      <x:c r="A38" s="147" t="str">
        <x:v>5 V Regulator</x:v>
      </x:c>
      <x:c r="B38" s="148" t="str">
        <x:v>ST L7805CV</x:v>
      </x:c>
      <x:c r="C38" s="148" t="str">
        <x:v>7-35 V input / 5 V output</x:v>
      </x:c>
      <x:c r="D38" s="149" t="n">
        <x:v>1</x:v>
      </x:c>
      <x:c r="E38" s="192" t="n">
        <x:v>1500</x:v>
      </x:c>
      <x:c r="F38" s="192" t="n">
        <x:f>D38*E38</x:f>
        <x:v>1500</x:v>
      </x:c>
      <x:c r="G38" s="192" t="n">
        <x:f>(9-5)*F32/1000</x:f>
        <x:v>0.64</x:v>
      </x:c>
      <x:c r="H38" s="150" t="str">
        <x:v>Regulator current rating; thermal dissipation must also be respected</x:v>
      </x:c>
    </x:row>
    <x:row r="39">
      <x:c r="A39" s="147" t="str">
        <x:v>9 V DC Supply</x:v>
      </x:c>
      <x:c r="B39" s="148" t="str">
        <x:v>External adapter</x:v>
      </x:c>
      <x:c r="C39" s="148" t="str">
        <x:v>9 VDC</x:v>
      </x:c>
      <x:c r="D39" s="149" t="n">
        <x:v>1</x:v>
      </x:c>
      <x:c r="E39" s="192" t="n">
        <x:v>3000</x:v>
      </x:c>
      <x:c r="F39" s="192" t="n">
        <x:f>D39*E39</x:f>
        <x:v>3000</x:v>
      </x:c>
      <x:c r="G39" s="192" t="n">
        <x:f>9*F39/1000</x:f>
        <x:v>27</x:v>
      </x:c>
      <x:c r="H39" s="150" t="str">
        <x:v>Available source current</x:v>
      </x:c>
    </x:row>
    <x:row r="40">
      <x:c r="A40" s="151" t="str">
        <x:v>F1 Mini Blade Fuse</x:v>
      </x:c>
      <x:c r="B40" s="152" t="str">
        <x:v>Littelfuse 0297002.WXNV</x:v>
      </x:c>
      <x:c r="C40" s="152" t="str">
        <x:v>32 VDC max</x:v>
      </x:c>
      <x:c r="D40" s="153" t="n">
        <x:v>1</x:v>
      </x:c>
      <x:c r="E40" s="193" t="n">
        <x:v>2000</x:v>
      </x:c>
      <x:c r="F40" s="193" t="n">
        <x:f>D40*E40</x:f>
        <x:v>2000</x:v>
      </x:c>
      <x:c r="G40" s="193"/>
      <x:c r="H40" s="154" t="str">
        <x:v>Final selected fuse rating</x:v>
      </x:c>
    </x:row>
    <x:row r="41">
      <x:c r="A41" s="144"/>
      <x:c r="B41" s="144"/>
      <x:c r="C41" s="144"/>
      <x:c r="D41" s="155"/>
      <x:c r="E41" s="194"/>
      <x:c r="F41" s="194"/>
      <x:c r="G41" s="194"/>
      <x:c r="H41" s="144"/>
    </x:row>
    <x:row r="42">
      <x:c r="A42" s="144"/>
      <x:c r="B42" s="144"/>
      <x:c r="C42" s="144"/>
      <x:c r="D42" s="155"/>
      <x:c r="E42" s="199" t="str">
        <x:v>Remaining 9 V Supply Current (with 25% margin)</x:v>
      </x:c>
      <x:c r="F42" s="200" t="n">
        <x:f>F39-F24</x:f>
        <x:v>2254.8</x:v>
      </x:c>
      <x:c r="G42" s="201"/>
      <x:c r="H42" s="144"/>
    </x:row>
    <x:row r="43">
      <x:c r="A43" s="144"/>
      <x:c r="B43" s="144"/>
      <x:c r="C43" s="144"/>
      <x:c r="D43" s="155"/>
      <x:c r="E43" s="202" t="str">
        <x:v>L7805 Estimated Dissipation at 160 mA load</x:v>
      </x:c>
      <x:c r="F43" s="197"/>
      <x:c r="G43" s="203" t="n">
        <x:f>(9-5)*F32/1000</x:f>
        <x:v>0.64</x:v>
      </x:c>
      <x:c r="H43" s="144"/>
    </x:row>
    <x:row r="44">
      <x:c r="A44" s="144"/>
      <x:c r="B44" s="144"/>
      <x:c r="C44" s="144"/>
      <x:c r="D44" s="155"/>
      <x:c r="E44" s="202" t="str">
        <x:v>Recommended Main Power Trace</x:v>
      </x:c>
      <x:c r="F44" s="197" t="str">
        <x:v>&gt;= 1.02 mm (40 mil), 2 oz Cu</x:v>
      </x:c>
      <x:c r="G44" s="203"/>
      <x:c r="H44" s="144"/>
    </x:row>
    <x:row r="45">
      <x:c r="A45" s="144"/>
      <x:c r="B45" s="144"/>
      <x:c r="C45" s="144"/>
      <x:c r="D45" s="155"/>
      <x:c r="E45" s="204" t="str">
        <x:v>Preferred Jack-to-Fuse Feed if space permits</x:v>
      </x:c>
      <x:c r="F45" s="198" t="str">
        <x:v>1.5-2.0 mm</x:v>
      </x:c>
      <x:c r="G45" s="205"/>
      <x:c r="H45" s="144"/>
    </x:row>
    <x:row r="48">
      <x:c r="A48" s="11" t="str">
        <x:v>Design Notes / Sources</x:v>
      </x:c>
      <x:c r="B48" s="11" t="str"/>
      <x:c r="C48" s="11" t="str"/>
      <x:c r="D48" s="11" t="str"/>
      <x:c r="E48" s="11" t="str"/>
      <x:c r="F48" s="11" t="str"/>
      <x:c r="G48" s="11" t="str"/>
      <x:c r="H48" s="11" t="str"/>
    </x:row>
    <x:row r="49">
      <x:c r="A49" t="str">
        <x:v>Cree LED datasheet</x:v>
      </x:c>
      <x:c r="B49" t="str">
        <x:v>/mnt/data/HB-C5SMF-RJF-RJE-GJF-GJE-BJF-BJE(1).pdf</x:v>
      </x:c>
      <x:c r="C49" t="str"/>
      <x:c r="D49" t="str"/>
      <x:c r="E49" t="str"/>
      <x:c r="F49" t="str"/>
      <x:c r="G49" t="str"/>
      <x:c r="H49" t="str"/>
    </x:row>
    <x:row r="50">
      <x:c r="A50" t="str">
        <x:v>PIC Nano documentation</x:v>
      </x:c>
      <x:c r="B50" t="str">
        <x:v>/mnt/data/PIC18F57Q43-Curiosity-Nano-HW-UserGuide-DS40002186B.pdf</x:v>
      </x:c>
      <x:c r="C50" t="str"/>
      <x:c r="D50" t="str"/>
      <x:c r="E50" t="str"/>
      <x:c r="F50" t="str"/>
      <x:c r="G50" t="str"/>
      <x:c r="H50" t="str"/>
    </x:row>
    <x:row r="51">
      <x:c r="A51" t="str">
        <x:v>Peralta PCB mill specifications</x:v>
      </x:c>
      <x:c r="B51" t="str">
        <x:v>/mnt/data/Printed Circuit Boards Mill Specs _ Peralta Engineering Studio.pdf</x:v>
      </x:c>
      <x:c r="C51" t="str"/>
      <x:c r="D51" t="str"/>
      <x:c r="E51" t="str"/>
      <x:c r="F51" t="str"/>
      <x:c r="G51" t="str"/>
      <x:c r="H51" t="str"/>
    </x:row>
    <x:row r="52">
      <x:c r="A52" t="str">
        <x:v>Power-budget basis</x:v>
      </x:c>
      <x:c r="B52" t="str">
        <x:v>RGB 430.16 mA + regulator branch 166 mA = 596.16 mA; 25% margin = 745.20 mA</x:v>
      </x:c>
      <x:c r="C52" t="str"/>
      <x:c r="D52" t="str"/>
      <x:c r="E52" t="str"/>
      <x:c r="F52" t="str"/>
      <x:c r="G52" t="str"/>
      <x:c r="H52" t="str"/>
    </x:row>
  </x:sheetData>
  <x:mergeCells>
    <x:mergeCell ref="A1:H1"/>
    <x:mergeCell ref="A7:H7"/>
    <x:mergeCell ref="A18:H18"/>
    <x:mergeCell ref="A26:H26"/>
    <x:mergeCell ref="A36:H36"/>
  </x:mergeCells>
  <x:pageMargins left="0.7" right="0.7" top="0.75" bottom="0.75" header="0.3" footer="0.3"/>
</x:worksheet>
</file>